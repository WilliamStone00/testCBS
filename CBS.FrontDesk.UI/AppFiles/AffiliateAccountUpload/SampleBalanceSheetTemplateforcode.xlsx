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AEC1FD77-A740-4C55-A6C8-C2140C200575}" xr6:coauthVersionLast="47" xr6:coauthVersionMax="47" xr10:uidLastSave="{00000000-0000-0000-0000-000000000000}"/>
  <bookViews>
    <workbookView xWindow="-108" yWindow="-108" windowWidth="23256" windowHeight="12456" xr2:uid="{136D4B7B-62D9-4124-B053-1C733C4BF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</calcChain>
</file>

<file path=xl/sharedStrings.xml><?xml version="1.0" encoding="utf-8"?>
<sst xmlns="http://schemas.openxmlformats.org/spreadsheetml/2006/main" count="37" uniqueCount="37">
  <si>
    <t>Fully paid shares</t>
  </si>
  <si>
    <t>113000000000</t>
  </si>
  <si>
    <t>GENERAL RESERVES</t>
  </si>
  <si>
    <t>114000000110</t>
  </si>
  <si>
    <t>BUILDING CONTRIBUTION</t>
  </si>
  <si>
    <t>181120</t>
  </si>
  <si>
    <t>PREFERENCE SHARES</t>
  </si>
  <si>
    <t>251100000000</t>
  </si>
  <si>
    <t>CAUTIONS AND  DEPOSITS</t>
  </si>
  <si>
    <t>302010</t>
  </si>
  <si>
    <t>TAXABLE MAIN LOAN</t>
  </si>
  <si>
    <t>311000</t>
  </si>
  <si>
    <t>MAIN LOAN</t>
  </si>
  <si>
    <t>311100</t>
  </si>
  <si>
    <t>EXCEPTIONAL LOANS</t>
  </si>
  <si>
    <t>312200</t>
  </si>
  <si>
    <t>SPCECIAL LOANS &amp; ADVANCE SALARY</t>
  </si>
  <si>
    <t>319010000000</t>
  </si>
  <si>
    <t>INTEREST RECEIVABLE ON LOANS</t>
  </si>
  <si>
    <t>OpeningDebit</t>
  </si>
  <si>
    <t>OpeningCredit</t>
  </si>
  <si>
    <t>MovementDebit</t>
  </si>
  <si>
    <t>MovementCredit</t>
  </si>
  <si>
    <t>EndDebit</t>
  </si>
  <si>
    <t>EndCredit</t>
  </si>
  <si>
    <t>BAPCCUL</t>
  </si>
  <si>
    <t>Branch Name:</t>
  </si>
  <si>
    <t>Biyem-Assi</t>
  </si>
  <si>
    <t>Agent Post 1</t>
  </si>
  <si>
    <t>Branch Code:</t>
  </si>
  <si>
    <t>003</t>
  </si>
  <si>
    <t>Date:</t>
  </si>
  <si>
    <t>TotalAccount</t>
  </si>
  <si>
    <t xml:space="preserve">Upload By: </t>
  </si>
  <si>
    <t>AccountNumber</t>
  </si>
  <si>
    <t>AccountName</t>
  </si>
  <si>
    <t>TRIAL BALANCE 6 COLUMN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</si>
</sst>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.0500000000000007"/>
      <color indexed="8"/>
      <name val="Times New Roman"/>
    </font>
    <font>
      <b/>
      <sz val="11"/>
      <color theme="1"/>
      <name val="Calibri"/>
      <family val="2"/>
      <scheme val="minor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Bahnschrift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left" vertical="center"/>
    </xf>
    <xf numFmtId="3" fontId="2" fillId="0" borderId="0" xfId="1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/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0" fillId="0" borderId="0" xfId="0" applyAlignment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6" fillId="0" borderId="2" xfId="1" applyNumberFormat="1" applyFont="1" applyBorder="1" applyAlignment="1">
      <alignment horizontal="left"/>
    </xf>
    <xf numFmtId="49" fontId="6" fillId="0" borderId="3" xfId="1" applyNumberFormat="1" applyFont="1" applyBorder="1" applyAlignment="1">
      <alignment horizontal="left"/>
    </xf>
    <xf numFmtId="49" fontId="6" fillId="0" borderId="4" xfId="1" applyNumberFormat="1" applyFont="1" applyBorder="1" applyAlignment="1">
      <alignment horizontal="left"/>
    </xf>
    <xf numFmtId="14" fontId="7" fillId="0" borderId="2" xfId="1" applyNumberFormat="1" applyFont="1" applyBorder="1" applyAlignment="1">
      <alignment horizontal="left"/>
    </xf>
    <xf numFmtId="14" fontId="7" fillId="0" borderId="3" xfId="1" applyNumberFormat="1" applyFont="1" applyBorder="1" applyAlignment="1">
      <alignment horizontal="left"/>
    </xf>
    <xf numFmtId="14" fontId="7" fillId="0" borderId="4" xfId="1" applyNumberFormat="1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3" fontId="3" fillId="4" borderId="0" xfId="0" applyNumberFormat="1" applyFont="1" applyFill="1"/>
  </cellXfs>
  <cellStyles count="2">
    <cellStyle name="Normal" xfId="0" builtinId="0"/>
    <cellStyle name="Normal 2" xfId="1" xr:uid="{D070CFC6-F3CA-4EC3-B1D1-387988F23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C0A5-D2D3-4E72-ADFD-91B931B6E283}">
  <dimension ref="A1:QKZ19"/>
  <sheetViews>
    <sheetView tabSelected="1" workbookViewId="0">
      <selection activeCell="A21" sqref="A21"/>
    </sheetView>
  </sheetViews>
  <sheetFormatPr defaultRowHeight="14.4"/>
  <cols>
    <col min="1" max="1" width="33" bestFit="1" customWidth="1"/>
    <col min="2" max="2" width="26.88671875" customWidth="1"/>
    <col min="3" max="3" width="16" customWidth="1"/>
    <col min="4" max="4" width="17" customWidth="1"/>
    <col min="5" max="5" width="15.44140625" customWidth="1"/>
    <col min="6" max="6" width="15.109375" customWidth="1"/>
    <col min="7" max="7" width="12.6640625" bestFit="1" customWidth="1"/>
    <col min="8" max="8" width="15.33203125" customWidth="1"/>
  </cols>
  <sheetData>
    <row r="1" spans="1:11804" ht="17.399999999999999">
      <c r="A1" s="20" t="s">
        <v>25</v>
      </c>
      <c r="B1" s="21"/>
      <c r="C1" s="21"/>
      <c r="D1" s="21"/>
      <c r="E1" s="21"/>
      <c r="F1" s="21"/>
      <c r="G1" s="21"/>
      <c r="H1" s="2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</row>
    <row r="2" spans="1:11804" ht="15">
      <c r="A2" s="3" t="s">
        <v>26</v>
      </c>
      <c r="B2" s="8" t="s">
        <v>27</v>
      </c>
      <c r="C2" s="9"/>
      <c r="D2" s="9"/>
      <c r="E2" s="9"/>
      <c r="F2" s="9"/>
      <c r="G2" s="9"/>
      <c r="H2" s="10"/>
    </row>
    <row r="3" spans="1:11804" ht="15.6">
      <c r="A3" s="4" t="s">
        <v>29</v>
      </c>
      <c r="B3" s="11" t="s">
        <v>30</v>
      </c>
      <c r="C3" s="12"/>
      <c r="D3" s="12"/>
      <c r="E3" s="12"/>
      <c r="F3" s="12"/>
      <c r="G3" s="12"/>
      <c r="H3" s="13"/>
    </row>
    <row r="4" spans="1:11804" ht="15.6">
      <c r="A4" s="4" t="s">
        <v>31</v>
      </c>
      <c r="B4" s="14">
        <v>45953</v>
      </c>
      <c r="C4" s="15"/>
      <c r="D4" s="15"/>
      <c r="E4" s="15"/>
      <c r="F4" s="15"/>
      <c r="G4" s="15"/>
      <c r="H4" s="16"/>
    </row>
    <row r="5" spans="1:11804" ht="17.399999999999999">
      <c r="A5" s="20" t="s">
        <v>36</v>
      </c>
      <c r="B5" s="21"/>
      <c r="C5" s="21"/>
      <c r="D5" s="21"/>
      <c r="E5" s="21"/>
      <c r="F5" s="21"/>
      <c r="G5" s="21"/>
      <c r="H5" s="2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</row>
    <row r="6" spans="1:11804">
      <c r="A6" s="5" t="s">
        <v>33</v>
      </c>
      <c r="B6" s="17" t="s">
        <v>28</v>
      </c>
      <c r="C6" s="18"/>
      <c r="D6" s="18"/>
      <c r="E6" s="18"/>
      <c r="F6" s="18"/>
      <c r="G6" s="18"/>
      <c r="H6" s="19"/>
    </row>
    <row r="7" spans="1:11804">
      <c r="A7" s="5" t="s">
        <v>32</v>
      </c>
      <c r="B7" s="17">
        <v>118</v>
      </c>
      <c r="C7" s="18"/>
      <c r="D7" s="18"/>
      <c r="E7" s="18"/>
      <c r="F7" s="18"/>
      <c r="G7" s="18"/>
      <c r="H7" s="19"/>
    </row>
    <row r="8" spans="1:11804" ht="41.4" customHeight="1">
      <c r="A8" s="6" t="s">
        <v>34</v>
      </c>
      <c r="B8" s="6" t="s">
        <v>35</v>
      </c>
      <c r="C8" s="6" t="s">
        <v>19</v>
      </c>
      <c r="D8" s="6" t="s">
        <v>20</v>
      </c>
      <c r="E8" s="6" t="s">
        <v>21</v>
      </c>
      <c r="F8" s="6" t="s">
        <v>22</v>
      </c>
      <c r="G8" s="6" t="s">
        <v>23</v>
      </c>
      <c r="H8" s="6" t="s">
        <v>24</v>
      </c>
    </row>
    <row r="9" spans="1:11804">
      <c r="A9" s="1">
        <v>100000</v>
      </c>
      <c r="B9" s="1" t="s">
        <v>0</v>
      </c>
      <c r="C9" s="2">
        <v>0</v>
      </c>
      <c r="D9" s="2">
        <v>65401927</v>
      </c>
      <c r="E9" s="2">
        <v>74000</v>
      </c>
      <c r="F9" s="2">
        <v>3358000</v>
      </c>
      <c r="G9" s="2">
        <v>0</v>
      </c>
      <c r="H9" s="2">
        <v>68685927</v>
      </c>
    </row>
    <row r="10" spans="1:11804">
      <c r="A10" s="1" t="s">
        <v>1</v>
      </c>
      <c r="B10" s="1" t="s">
        <v>2</v>
      </c>
      <c r="C10" s="2">
        <v>0</v>
      </c>
      <c r="D10" s="2">
        <v>38978</v>
      </c>
      <c r="E10" s="2">
        <v>0</v>
      </c>
      <c r="F10" s="2">
        <v>0</v>
      </c>
      <c r="G10" s="2">
        <v>0</v>
      </c>
      <c r="H10" s="2">
        <v>38978</v>
      </c>
    </row>
    <row r="11" spans="1:11804">
      <c r="A11" s="1" t="s">
        <v>3</v>
      </c>
      <c r="B11" s="1" t="s">
        <v>4</v>
      </c>
      <c r="C11" s="2">
        <v>0</v>
      </c>
      <c r="D11" s="2">
        <v>10789424</v>
      </c>
      <c r="E11" s="2">
        <v>0</v>
      </c>
      <c r="F11" s="2">
        <v>288500</v>
      </c>
      <c r="G11" s="2">
        <v>0</v>
      </c>
      <c r="H11" s="2">
        <v>11077924</v>
      </c>
    </row>
    <row r="12" spans="1:11804">
      <c r="A12" s="1" t="s">
        <v>5</v>
      </c>
      <c r="B12" s="1" t="s">
        <v>6</v>
      </c>
      <c r="C12" s="2">
        <v>0</v>
      </c>
      <c r="D12" s="2">
        <v>20600000</v>
      </c>
      <c r="E12" s="2">
        <v>0</v>
      </c>
      <c r="F12" s="2">
        <v>10000000</v>
      </c>
      <c r="G12" s="2">
        <v>0</v>
      </c>
      <c r="H12" s="2">
        <v>30600000</v>
      </c>
    </row>
    <row r="13" spans="1:11804">
      <c r="A13" s="1" t="s">
        <v>7</v>
      </c>
      <c r="B13" s="1" t="s">
        <v>8</v>
      </c>
      <c r="C13" s="2">
        <v>460000</v>
      </c>
      <c r="D13" s="2">
        <v>0</v>
      </c>
      <c r="E13" s="2">
        <v>0</v>
      </c>
      <c r="F13" s="2">
        <v>0</v>
      </c>
      <c r="G13" s="2">
        <v>460000</v>
      </c>
      <c r="H13" s="2">
        <v>0</v>
      </c>
    </row>
    <row r="14" spans="1:11804">
      <c r="A14" s="1" t="s">
        <v>9</v>
      </c>
      <c r="B14" s="1" t="s">
        <v>10</v>
      </c>
      <c r="C14" s="2">
        <v>150537000</v>
      </c>
      <c r="D14" s="2">
        <v>0</v>
      </c>
      <c r="E14" s="2">
        <v>28650000</v>
      </c>
      <c r="F14" s="2">
        <v>21494000</v>
      </c>
      <c r="G14" s="2">
        <v>157693000</v>
      </c>
      <c r="H14" s="2">
        <v>0</v>
      </c>
    </row>
    <row r="15" spans="1:11804">
      <c r="A15" s="1" t="s">
        <v>11</v>
      </c>
      <c r="B15" s="1" t="s">
        <v>12</v>
      </c>
      <c r="C15" s="2">
        <v>214567600</v>
      </c>
      <c r="D15" s="2">
        <v>0</v>
      </c>
      <c r="E15" s="2">
        <v>52613000</v>
      </c>
      <c r="F15" s="2">
        <v>42018500</v>
      </c>
      <c r="G15" s="2">
        <v>225162100</v>
      </c>
      <c r="H15" s="2">
        <v>0</v>
      </c>
    </row>
    <row r="16" spans="1:11804">
      <c r="A16" s="1" t="s">
        <v>13</v>
      </c>
      <c r="B16" s="1" t="s">
        <v>14</v>
      </c>
      <c r="C16" s="2">
        <v>34259742</v>
      </c>
      <c r="D16" s="2">
        <v>0</v>
      </c>
      <c r="E16" s="2">
        <v>0</v>
      </c>
      <c r="F16" s="2">
        <v>2346500</v>
      </c>
      <c r="G16" s="2">
        <v>31913242</v>
      </c>
      <c r="H16" s="2">
        <v>0</v>
      </c>
    </row>
    <row r="17" spans="1:8">
      <c r="A17" s="1" t="s">
        <v>15</v>
      </c>
      <c r="B17" s="1" t="s">
        <v>16</v>
      </c>
      <c r="C17" s="2">
        <v>416000</v>
      </c>
      <c r="D17" s="2">
        <v>0</v>
      </c>
      <c r="E17" s="2">
        <v>1386150</v>
      </c>
      <c r="F17" s="2">
        <v>1802150</v>
      </c>
      <c r="G17" s="2">
        <v>0</v>
      </c>
      <c r="H17" s="2">
        <v>0</v>
      </c>
    </row>
    <row r="18" spans="1:8">
      <c r="A18" s="1" t="s">
        <v>17</v>
      </c>
      <c r="B18" s="1" t="s">
        <v>18</v>
      </c>
      <c r="C18" s="2">
        <v>0</v>
      </c>
      <c r="D18" s="2">
        <v>0</v>
      </c>
      <c r="E18" s="2">
        <v>620765</v>
      </c>
      <c r="F18" s="2">
        <v>620765</v>
      </c>
      <c r="G18" s="2">
        <v>0</v>
      </c>
      <c r="H18" s="2">
        <v>0</v>
      </c>
    </row>
    <row r="19" spans="1:8">
      <c r="C19" s="23">
        <f>SUM(C9:C18)</f>
        <v>400240342</v>
      </c>
      <c r="D19" s="23">
        <f>SUM(D9:D18)</f>
        <v>96830329</v>
      </c>
      <c r="E19" s="23">
        <f>SUM(E9:E18)</f>
        <v>83343915</v>
      </c>
      <c r="F19" s="23">
        <f>SUM(F9:F18)</f>
        <v>81928415</v>
      </c>
      <c r="G19" s="23">
        <f>SUM(G9:G18)</f>
        <v>415228342</v>
      </c>
      <c r="H19" s="23">
        <f>SUM(H9:H18)</f>
        <v>110402829</v>
      </c>
    </row>
  </sheetData>
  <mergeCells count="7">
    <mergeCell ref="B7:H7"/>
    <mergeCell ref="B6:H6"/>
    <mergeCell ref="A1:H1"/>
    <mergeCell ref="B2:H2"/>
    <mergeCell ref="B3:H3"/>
    <mergeCell ref="B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TEBID BORIS</cp:lastModifiedBy>
  <dcterms:created xsi:type="dcterms:W3CDTF">2025-10-18T18:39:34Z</dcterms:created>
  <dcterms:modified xsi:type="dcterms:W3CDTF">2025-10-23T14:15:37Z</dcterms:modified>
</cp:coreProperties>
</file>